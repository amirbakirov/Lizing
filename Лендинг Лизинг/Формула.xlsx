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r\Desktop\"/>
    </mc:Choice>
  </mc:AlternateContent>
  <xr:revisionPtr revIDLastSave="0" documentId="13_ncr:1_{BD842D9D-110B-47BD-9EB6-69AF311911A0}" xr6:coauthVersionLast="47" xr6:coauthVersionMax="47" xr10:uidLastSave="{00000000-0000-0000-0000-000000000000}"/>
  <bookViews>
    <workbookView xWindow="-120" yWindow="-120" windowWidth="29040" windowHeight="15720" xr2:uid="{06DCB476-9627-4332-8B98-4E026C62F7F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B24" i="1"/>
  <c r="B25" i="1" s="1"/>
  <c r="B22" i="1"/>
  <c r="B7" i="1" s="1"/>
  <c r="B9" i="1" l="1"/>
  <c r="E15" i="1"/>
  <c r="E3" i="1"/>
  <c r="E6" i="1" l="1"/>
  <c r="H6" i="1" s="1"/>
  <c r="E9" i="1" s="1"/>
  <c r="E18" i="1" s="1"/>
</calcChain>
</file>

<file path=xl/sharedStrings.xml><?xml version="1.0" encoding="utf-8"?>
<sst xmlns="http://schemas.openxmlformats.org/spreadsheetml/2006/main" count="26" uniqueCount="21">
  <si>
    <t xml:space="preserve">Цена приобретения имущества </t>
  </si>
  <si>
    <t>Сумма финансирования, руб.</t>
  </si>
  <si>
    <t>Общая сумма договора лизинга</t>
  </si>
  <si>
    <t>Сумма аванса по договору лизинга</t>
  </si>
  <si>
    <t>Плата за финансирование, %</t>
  </si>
  <si>
    <t>Срок договора лизинга, дн.</t>
  </si>
  <si>
    <t>Плата за финансирование, руб.</t>
  </si>
  <si>
    <t>Срок финансирования, дн.</t>
  </si>
  <si>
    <t>Подставить значение</t>
  </si>
  <si>
    <t>Расходы, руб.</t>
  </si>
  <si>
    <t>Доходы, руб.</t>
  </si>
  <si>
    <t>Платежи по договору лизинга</t>
  </si>
  <si>
    <t>Цена реализации имущества (оценка)</t>
  </si>
  <si>
    <t>Сальдо взаимных расчетов (Доходы-расходы)</t>
  </si>
  <si>
    <t>Даты договора</t>
  </si>
  <si>
    <t>Срок договора в днях (Сдн)</t>
  </si>
  <si>
    <t>Дата договора и до изъятия</t>
  </si>
  <si>
    <t>Рыночная цена имущества на момент изъятия (оценка)</t>
  </si>
  <si>
    <t>Дата начала договора</t>
  </si>
  <si>
    <t>Дата окончания договора</t>
  </si>
  <si>
    <t>Дата изъятия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</si>
</sst>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8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5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4" fontId="1" fillId="4" borderId="1" xfId="0" applyNumberFormat="1" applyFont="1" applyFill="1" applyBorder="1" applyAlignment="1">
      <alignment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4" fontId="2" fillId="0" borderId="0" xfId="0" applyNumberFormat="1" applyFont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64" fontId="0" fillId="6" borderId="1" xfId="0" applyNumberFormat="1" applyFill="1" applyBorder="1"/>
    <xf numFmtId="0" fontId="0" fillId="7" borderId="1" xfId="0" applyFill="1" applyBorder="1"/>
    <xf numFmtId="4" fontId="1" fillId="5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center" vertical="center"/>
    </xf>
    <xf numFmtId="4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8D9"/>
      <color rgb="FFFFCC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2DC8-D716-4535-AF2D-0F5321E2E210}">
  <dimension ref="A1:I25"/>
  <sheetViews>
    <sheetView tabSelected="1" workbookViewId="0">
      <selection activeCell="I18" sqref="I18"/>
    </sheetView>
  </sheetViews>
  <sheetFormatPr defaultRowHeight="18.75" x14ac:dyDescent="0.3"/>
  <cols>
    <col min="1" max="1" width="45.140625" style="3" customWidth="1"/>
    <col min="2" max="2" width="26.140625" style="17" customWidth="1"/>
    <col min="3" max="3" width="9.140625" style="3" customWidth="1"/>
    <col min="4" max="4" width="54.42578125" style="3" customWidth="1"/>
    <col min="5" max="5" width="23.7109375" style="3" customWidth="1"/>
    <col min="9" max="9" width="56.85546875" customWidth="1"/>
  </cols>
  <sheetData>
    <row r="1" spans="1:9" x14ac:dyDescent="0.3">
      <c r="B1" s="14" t="s">
        <v>8</v>
      </c>
    </row>
    <row r="3" spans="1:9" x14ac:dyDescent="0.3">
      <c r="A3" s="2" t="s">
        <v>0</v>
      </c>
      <c r="B3" s="21">
        <v>6600000</v>
      </c>
      <c r="D3" s="22" t="s">
        <v>1</v>
      </c>
      <c r="E3" s="24">
        <f>SUM(B3-B4)</f>
        <v>6600000</v>
      </c>
      <c r="F3" s="1"/>
      <c r="I3" t="s">
        <v>0</v>
      </c>
    </row>
    <row r="4" spans="1:9" x14ac:dyDescent="0.3">
      <c r="A4" s="2" t="s">
        <v>3</v>
      </c>
      <c r="B4" s="15">
        <v>0</v>
      </c>
      <c r="D4" s="22"/>
      <c r="E4" s="25"/>
      <c r="F4" s="1"/>
      <c r="I4" t="s">
        <v>3</v>
      </c>
    </row>
    <row r="5" spans="1:9" x14ac:dyDescent="0.3">
      <c r="I5" t="s">
        <v>2</v>
      </c>
    </row>
    <row r="6" spans="1:9" x14ac:dyDescent="0.3">
      <c r="A6" s="2" t="s">
        <v>2</v>
      </c>
      <c r="B6" s="15">
        <v>9235860</v>
      </c>
      <c r="D6" s="22" t="s">
        <v>4</v>
      </c>
      <c r="E6" s="26">
        <f>SUM(((B6-B4-E3)/(E3*B7)*365*100))</f>
        <v>8.0938948059159053</v>
      </c>
      <c r="H6" t="str">
        <f>FIXED(E6)</f>
        <v>8,09</v>
      </c>
      <c r="I6" t="s">
        <v>11</v>
      </c>
    </row>
    <row r="7" spans="1:9" x14ac:dyDescent="0.3">
      <c r="A7" s="2" t="s">
        <v>5</v>
      </c>
      <c r="B7" s="16">
        <f>B22</f>
        <v>1801</v>
      </c>
      <c r="D7" s="22"/>
      <c r="E7" s="26"/>
      <c r="I7" t="s">
        <v>17</v>
      </c>
    </row>
    <row r="9" spans="1:9" x14ac:dyDescent="0.3">
      <c r="A9" s="2" t="s">
        <v>7</v>
      </c>
      <c r="B9" s="16">
        <f>B25</f>
        <v>543</v>
      </c>
      <c r="D9" s="22" t="s">
        <v>6</v>
      </c>
      <c r="E9" s="23">
        <f>SUM((E3*H6*B9)/(365*100))</f>
        <v>794327.17808219173</v>
      </c>
    </row>
    <row r="10" spans="1:9" x14ac:dyDescent="0.3">
      <c r="A10" s="2" t="s">
        <v>11</v>
      </c>
      <c r="B10" s="15">
        <v>1884158.73</v>
      </c>
      <c r="D10" s="22"/>
      <c r="E10" s="23"/>
      <c r="I10" t="s">
        <v>18</v>
      </c>
    </row>
    <row r="11" spans="1:9" x14ac:dyDescent="0.3">
      <c r="A11" s="2" t="s">
        <v>12</v>
      </c>
      <c r="B11" s="15">
        <v>1900000</v>
      </c>
      <c r="I11" t="s">
        <v>19</v>
      </c>
    </row>
    <row r="12" spans="1:9" x14ac:dyDescent="0.3">
      <c r="A12" s="2"/>
      <c r="B12" s="15"/>
      <c r="D12" s="22" t="s">
        <v>9</v>
      </c>
      <c r="E12" s="23">
        <f>SUM(E3+E9+B13)</f>
        <v>7394327.1780821914</v>
      </c>
    </row>
    <row r="13" spans="1:9" x14ac:dyDescent="0.3">
      <c r="A13" s="2"/>
      <c r="B13" s="15"/>
      <c r="D13" s="22"/>
      <c r="E13" s="22"/>
      <c r="I13" t="s">
        <v>20</v>
      </c>
    </row>
    <row r="14" spans="1:9" ht="48.75" customHeight="1" x14ac:dyDescent="0.3">
      <c r="A14" s="6"/>
      <c r="B14" s="15"/>
      <c r="D14" s="4"/>
      <c r="E14" s="4"/>
    </row>
    <row r="15" spans="1:9" ht="48.75" customHeight="1" x14ac:dyDescent="0.3">
      <c r="A15" s="5"/>
      <c r="D15" s="8" t="s">
        <v>10</v>
      </c>
      <c r="E15" s="9">
        <f>SUM(B10-B4+B11)</f>
        <v>3784158.73</v>
      </c>
    </row>
    <row r="16" spans="1:9" x14ac:dyDescent="0.3">
      <c r="A16" s="7"/>
      <c r="B16" s="18"/>
    </row>
    <row r="17" spans="1:5" x14ac:dyDescent="0.3">
      <c r="A17" s="12"/>
      <c r="B17" s="15"/>
    </row>
    <row r="18" spans="1:5" ht="52.5" customHeight="1" x14ac:dyDescent="0.3">
      <c r="A18" s="13"/>
      <c r="B18" s="15"/>
      <c r="D18" s="10" t="s">
        <v>13</v>
      </c>
      <c r="E18" s="11">
        <f>SUM(E15-E12)</f>
        <v>-3610168.4480821914</v>
      </c>
    </row>
    <row r="19" spans="1:5" x14ac:dyDescent="0.3">
      <c r="A19" s="13"/>
      <c r="B19" s="15"/>
    </row>
    <row r="21" spans="1:5" x14ac:dyDescent="0.3">
      <c r="A21" t="s">
        <v>14</v>
      </c>
      <c r="B21" s="19">
        <v>44824</v>
      </c>
      <c r="C21" s="19">
        <v>46625</v>
      </c>
    </row>
    <row r="22" spans="1:5" x14ac:dyDescent="0.3">
      <c r="A22" t="s">
        <v>15</v>
      </c>
      <c r="B22" s="20">
        <f>C21-B21</f>
        <v>1801</v>
      </c>
      <c r="C22"/>
    </row>
    <row r="24" spans="1:5" x14ac:dyDescent="0.3">
      <c r="A24" t="s">
        <v>16</v>
      </c>
      <c r="B24" s="19">
        <f>B21</f>
        <v>44824</v>
      </c>
      <c r="C24" s="19">
        <v>45307</v>
      </c>
    </row>
    <row r="25" spans="1:5" x14ac:dyDescent="0.3">
      <c r="A25" t="s">
        <v>15</v>
      </c>
      <c r="B25" s="20">
        <f>C24-B24+60</f>
        <v>543</v>
      </c>
      <c r="C25"/>
    </row>
  </sheetData>
  <mergeCells count="8">
    <mergeCell ref="D12:D13"/>
    <mergeCell ref="E12:E13"/>
    <mergeCell ref="D3:D4"/>
    <mergeCell ref="E3:E4"/>
    <mergeCell ref="D6:D7"/>
    <mergeCell ref="E6:E7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</dc:creator>
  <cp:lastModifiedBy>Ленар Kska</cp:lastModifiedBy>
  <dcterms:created xsi:type="dcterms:W3CDTF">2024-02-28T11:16:58Z</dcterms:created>
  <dcterms:modified xsi:type="dcterms:W3CDTF">2026-02-05T08:23:49Z</dcterms:modified>
</cp:coreProperties>
</file>